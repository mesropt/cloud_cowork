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By Category" sheetId="2" state="visible" r:id="rId4"/>
    <sheet name="Flagged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<sst xmlns="http://schemas.openxmlformats.org/spreadsheetml/2006/main" count="151" uniqueCount="84">
  <si>
    <t xml:space="preserve">Basecamp Coffee Roasters — Expense Tracker</t>
  </si>
  <si>
    <t xml:space="preserve">Date</t>
  </si>
  <si>
    <t xml:space="preserve">Vendor</t>
  </si>
  <si>
    <t xml:space="preserve">Amount ($)</t>
  </si>
  <si>
    <t xml:space="preserve">Country of Origin</t>
  </si>
  <si>
    <t xml:space="preserve">Category</t>
  </si>
  <si>
    <t xml:space="preserve">Notes</t>
  </si>
  <si>
    <t xml:space="preserve">Flagged?</t>
  </si>
  <si>
    <t xml:space="preserve">11/05/2025</t>
  </si>
  <si>
    <t xml:space="preserve">Coffee Bean Warehouse</t>
  </si>
  <si>
    <t xml:space="preserve">USA / Ethiopia, Colombia, Indonesia, Brazil</t>
  </si>
  <si>
    <t xml:space="preserve">Coffee Supplies</t>
  </si>
  <si>
    <t xml:space="preserve">4 bean varieties, 5lb each</t>
  </si>
  <si>
    <t xml:space="preserve">✓</t>
  </si>
  <si>
    <t xml:space="preserve">11/12/2025</t>
  </si>
  <si>
    <t xml:space="preserve">Office Depot</t>
  </si>
  <si>
    <t xml:space="preserve">USA</t>
  </si>
  <si>
    <t xml:space="preserve">Office Supplies</t>
  </si>
  <si>
    <t xml:space="preserve">Paper, stapler, pens, folders</t>
  </si>
  <si>
    <t xml:space="preserve">11/18/2025</t>
  </si>
  <si>
    <t xml:space="preserve">Restaurant Depot</t>
  </si>
  <si>
    <t xml:space="preserve">Beverage Supplies</t>
  </si>
  <si>
    <t xml:space="preserve">Dairy, oat milk, syrups, cups</t>
  </si>
  <si>
    <t xml:space="preserve">11/22/2025</t>
  </si>
  <si>
    <t xml:space="preserve">Amazon</t>
  </si>
  <si>
    <t xml:space="preserve">Equipment</t>
  </si>
  <si>
    <t xml:space="preserve">Espresso tools &amp; frothing pitchers</t>
  </si>
  <si>
    <t xml:space="preserve">11/28/2025</t>
  </si>
  <si>
    <t xml:space="preserve">Chevron</t>
  </si>
  <si>
    <t xml:space="preserve">Fuel</t>
  </si>
  <si>
    <t xml:space="preserve">12.857 gal unleaded plus</t>
  </si>
  <si>
    <t xml:space="preserve">12/01/2025</t>
  </si>
  <si>
    <t xml:space="preserve">QuickBooks (Intuit)</t>
  </si>
  <si>
    <t xml:space="preserve">Software/Subscriptions</t>
  </si>
  <si>
    <t xml:space="preserve">Monthly – Online Plus plan</t>
  </si>
  <si>
    <t xml:space="preserve">Spotify for Business</t>
  </si>
  <si>
    <t xml:space="preserve">Sweden</t>
  </si>
  <si>
    <t xml:space="preserve">Premium Business, 1 location</t>
  </si>
  <si>
    <t xml:space="preserve">12/03/2025</t>
  </si>
  <si>
    <t xml:space="preserve">USA / Ethiopia, Colombia, Guatemala, Brazil</t>
  </si>
  <si>
    <t xml:space="preserve">5 varieties; loyalty discount applied</t>
  </si>
  <si>
    <t xml:space="preserve">12/05/2025</t>
  </si>
  <si>
    <t xml:space="preserve">Supplies</t>
  </si>
  <si>
    <t xml:space="preserve">Coffee cups, sleeves, stirrers, napkins</t>
  </si>
  <si>
    <t xml:space="preserve">12/08/2025</t>
  </si>
  <si>
    <t xml:space="preserve">Sysco</t>
  </si>
  <si>
    <t xml:space="preserve">Food/Bev Supplies</t>
  </si>
  <si>
    <t xml:space="preserve">Sugar, dairy, eggs, butter, extracts</t>
  </si>
  <si>
    <t xml:space="preserve">12/10/2025</t>
  </si>
  <si>
    <t xml:space="preserve">Portland Pastry Co.</t>
  </si>
  <si>
    <t xml:space="preserve">Food</t>
  </si>
  <si>
    <t xml:space="preserve">Wholesale pastry order – Tues/Fri delivery</t>
  </si>
  <si>
    <t xml:space="preserve">12/12/2025</t>
  </si>
  <si>
    <t xml:space="preserve">WebstaurantStore</t>
  </si>
  <si>
    <t xml:space="preserve">Vitamix blender + sound enclosure</t>
  </si>
  <si>
    <t xml:space="preserve">12/15/2025</t>
  </si>
  <si>
    <t xml:space="preserve">Unknown Vendor</t>
  </si>
  <si>
    <t xml:space="preserve">USA (estimated)</t>
  </si>
  <si>
    <t xml:space="preserve">Faded thermal receipt – possibly office/shop supplies</t>
  </si>
  <si>
    <t xml:space="preserve">⚠ REVIEW</t>
  </si>
  <si>
    <t xml:space="preserve">12/20/2025</t>
  </si>
  <si>
    <t xml:space="preserve">Dairy, syrups, whipped cream, sugar</t>
  </si>
  <si>
    <t xml:space="preserve">12/31/2025</t>
  </si>
  <si>
    <t xml:space="preserve">Square</t>
  </si>
  <si>
    <t xml:space="preserve">Payment Processing</t>
  </si>
  <si>
    <t xml:space="preserve">POS subscription $60 + Dec processing fees</t>
  </si>
  <si>
    <t xml:space="preserve">01/01/2026</t>
  </si>
  <si>
    <t xml:space="preserve">Pacific NW Business Ins.</t>
  </si>
  <si>
    <t xml:space="preserve">Insurance</t>
  </si>
  <si>
    <t xml:space="preserve">Q1 2026 quarterly premium (GL, Property, WC)</t>
  </si>
  <si>
    <t xml:space="preserve">01/02/2026</t>
  </si>
  <si>
    <t xml:space="preserve">Portland Hardware &amp; Supply</t>
  </si>
  <si>
    <t xml:space="preserve">Maintenance</t>
  </si>
  <si>
    <t xml:space="preserve">Tape, WD-40, bulbs, extension cord, tools</t>
  </si>
  <si>
    <t xml:space="preserve">01/05/2026</t>
  </si>
  <si>
    <t xml:space="preserve">Partial screenshot – order ~$100-200, possibly Staples</t>
  </si>
  <si>
    <t xml:space="preserve">TOTAL</t>
  </si>
  <si>
    <t xml:space="preserve">Totals by Category</t>
  </si>
  <si>
    <t xml:space="preserve">Total ($)</t>
  </si>
  <si>
    <t xml:space="preserve">% of Spend</t>
  </si>
  <si>
    <t xml:space="preserve">GRAND TOTAL</t>
  </si>
  <si>
    <t xml:space="preserve">⚠  Flagged / Unclear Receipts — Requires Review</t>
  </si>
  <si>
    <t xml:space="preserve">Action Required</t>
  </si>
  <si>
    <t xml:space="preserve">Locate original receipt or request duplicate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</si>
</sst>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A65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CC0000"/>
        <bgColor rgb="FFFF0000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ED7D31"/>
      <rgbColor rgb="FF4F81BD"/>
      <rgbColor rgb="FF969696"/>
      <rgbColor rgb="FF1F3864"/>
      <rgbColor rgb="FF00A6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'By Category'!B2</c:f>
              <c:strCache>
                <c:ptCount val="1"/>
                <c:pt idx="0">
                  <c:v>Total ($)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Category'!$A$3:$A$14</c:f>
              <c:strCache>
                <c:ptCount val="12"/>
                <c:pt idx="0">
                  <c:v>Beverage Supplies</c:v>
                </c:pt>
                <c:pt idx="1">
                  <c:v>Coffee Supplies</c:v>
                </c:pt>
                <c:pt idx="2">
                  <c:v>Equipment</c:v>
                </c:pt>
                <c:pt idx="3">
                  <c:v>Food</c:v>
                </c:pt>
                <c:pt idx="4">
                  <c:v>Food/Bev Supplies</c:v>
                </c:pt>
                <c:pt idx="5">
                  <c:v>Fuel</c:v>
                </c:pt>
                <c:pt idx="6">
                  <c:v>Insurance</c:v>
                </c:pt>
                <c:pt idx="7">
                  <c:v>Maintenance</c:v>
                </c:pt>
                <c:pt idx="8">
                  <c:v>Office Supplies</c:v>
                </c:pt>
                <c:pt idx="9">
                  <c:v>Payment Processing</c:v>
                </c:pt>
                <c:pt idx="10">
                  <c:v>Software/Subscriptions</c:v>
                </c:pt>
                <c:pt idx="11">
                  <c:v>Supplies</c:v>
                </c:pt>
              </c:strCache>
            </c:strRef>
          </c:cat>
          <c:val>
            <c:numRef>
              <c:f>'By Category'!$B$3:$B$14</c:f>
              <c:numCache>
                <c:formatCode>\$#,##0.00</c:formatCode>
                <c:ptCount val="12"/>
                <c:pt idx="0">
                  <c:v>757.9</c:v>
                </c:pt>
                <c:pt idx="1">
                  <c:v>546.3</c:v>
                </c:pt>
                <c:pt idx="2">
                  <c:v>345.97</c:v>
                </c:pt>
                <c:pt idx="3">
                  <c:v>187.5</c:v>
                </c:pt>
                <c:pt idx="4">
                  <c:v>523.45</c:v>
                </c:pt>
                <c:pt idx="5">
                  <c:v>45</c:v>
                </c:pt>
                <c:pt idx="6">
                  <c:v>875</c:v>
                </c:pt>
                <c:pt idx="7">
                  <c:v>67.89</c:v>
                </c:pt>
                <c:pt idx="8">
                  <c:v>89.34</c:v>
                </c:pt>
                <c:pt idx="9">
                  <c:v>591.71</c:v>
                </c:pt>
                <c:pt idx="10">
                  <c:v>44.99</c:v>
                </c:pt>
                <c:pt idx="11">
                  <c:v>469.56</c:v>
                </c:pt>
              </c:numCache>
            </c:numRef>
          </c:val>
        </c:ser>
        <c:gapWidth val="150"/>
        <c:overlap val="0"/>
        <c:axId val="64237541"/>
        <c:axId val="89195635"/>
      </c:barChart>
      <c:catAx>
        <c:axId val="6423754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195635"/>
        <c:crosses val="autoZero"/>
        <c:auto val="1"/>
        <c:lblAlgn val="ctr"/>
        <c:lblOffset val="100"/>
        <c:noMultiLvlLbl val="0"/>
      </c:catAx>
      <c:valAx>
        <c:axId val="891956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2375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15</xdr:col>
      <xdr:colOff>473040</xdr:colOff>
      <xdr:row>24</xdr:row>
      <xdr:rowOff>57960</xdr:rowOff>
    </xdr:to>
    <xdr:graphicFrame>
      <xdr:nvGraphicFramePr>
        <xdr:cNvPr id="1" name="Chart 1"/>
        <xdr:cNvGraphicFramePr/>
      </xdr:nvGraphicFramePr>
      <xdr:xfrm>
        <a:off x="4558680" y="35244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48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8</v>
      </c>
      <c r="B3" s="3" t="s">
        <v>9</v>
      </c>
      <c r="C3" s="4" t="n">
        <v>247.55</v>
      </c>
      <c r="D3" s="3" t="s">
        <v>10</v>
      </c>
      <c r="E3" s="3" t="s">
        <v>11</v>
      </c>
      <c r="F3" s="3" t="s">
        <v>12</v>
      </c>
      <c r="G3" s="5" t="s">
        <v>13</v>
      </c>
    </row>
    <row r="4" customFormat="false" ht="18" hidden="false" customHeight="true" outlineLevel="0" collapsed="false">
      <c r="A4" s="6" t="s">
        <v>14</v>
      </c>
      <c r="B4" s="6" t="s">
        <v>15</v>
      </c>
      <c r="C4" s="7" t="n">
        <v>89.34</v>
      </c>
      <c r="D4" s="6" t="s">
        <v>16</v>
      </c>
      <c r="E4" s="6" t="s">
        <v>17</v>
      </c>
      <c r="F4" s="6" t="s">
        <v>18</v>
      </c>
      <c r="G4" s="8" t="s">
        <v>13</v>
      </c>
    </row>
    <row r="5" customFormat="false" ht="18" hidden="false" customHeight="true" outlineLevel="0" collapsed="false">
      <c r="A5" s="3" t="s">
        <v>19</v>
      </c>
      <c r="B5" s="3" t="s">
        <v>20</v>
      </c>
      <c r="C5" s="4" t="n">
        <v>312.67</v>
      </c>
      <c r="D5" s="3" t="s">
        <v>16</v>
      </c>
      <c r="E5" s="3" t="s">
        <v>21</v>
      </c>
      <c r="F5" s="3" t="s">
        <v>22</v>
      </c>
      <c r="G5" s="5" t="s">
        <v>13</v>
      </c>
    </row>
    <row r="6" customFormat="false" ht="18" hidden="false" customHeight="true" outlineLevel="0" collapsed="false">
      <c r="A6" s="6" t="s">
        <v>23</v>
      </c>
      <c r="B6" s="6" t="s">
        <v>24</v>
      </c>
      <c r="C6" s="7" t="n">
        <v>156.97</v>
      </c>
      <c r="D6" s="6" t="s">
        <v>16</v>
      </c>
      <c r="E6" s="6" t="s">
        <v>25</v>
      </c>
      <c r="F6" s="6" t="s">
        <v>26</v>
      </c>
      <c r="G6" s="8" t="s">
        <v>13</v>
      </c>
    </row>
    <row r="7" customFormat="false" ht="18" hidden="false" customHeight="true" outlineLevel="0" collapsed="false">
      <c r="A7" s="3" t="s">
        <v>27</v>
      </c>
      <c r="B7" s="3" t="s">
        <v>28</v>
      </c>
      <c r="C7" s="4" t="n">
        <v>45</v>
      </c>
      <c r="D7" s="3" t="s">
        <v>16</v>
      </c>
      <c r="E7" s="3" t="s">
        <v>29</v>
      </c>
      <c r="F7" s="3" t="s">
        <v>30</v>
      </c>
      <c r="G7" s="5" t="s">
        <v>13</v>
      </c>
    </row>
    <row r="8" customFormat="false" ht="18" hidden="false" customHeight="true" outlineLevel="0" collapsed="false">
      <c r="A8" s="6" t="s">
        <v>31</v>
      </c>
      <c r="B8" s="6" t="s">
        <v>32</v>
      </c>
      <c r="C8" s="7" t="n">
        <v>30</v>
      </c>
      <c r="D8" s="6" t="s">
        <v>16</v>
      </c>
      <c r="E8" s="6" t="s">
        <v>33</v>
      </c>
      <c r="F8" s="6" t="s">
        <v>34</v>
      </c>
      <c r="G8" s="8" t="s">
        <v>13</v>
      </c>
    </row>
    <row r="9" customFormat="false" ht="18" hidden="false" customHeight="true" outlineLevel="0" collapsed="false">
      <c r="A9" s="3" t="s">
        <v>31</v>
      </c>
      <c r="B9" s="3" t="s">
        <v>35</v>
      </c>
      <c r="C9" s="4" t="n">
        <v>14.99</v>
      </c>
      <c r="D9" s="3" t="s">
        <v>36</v>
      </c>
      <c r="E9" s="3" t="s">
        <v>33</v>
      </c>
      <c r="F9" s="3" t="s">
        <v>37</v>
      </c>
      <c r="G9" s="5" t="s">
        <v>13</v>
      </c>
    </row>
    <row r="10" customFormat="false" ht="18" hidden="false" customHeight="true" outlineLevel="0" collapsed="false">
      <c r="A10" s="6" t="s">
        <v>38</v>
      </c>
      <c r="B10" s="6" t="s">
        <v>9</v>
      </c>
      <c r="C10" s="7" t="n">
        <v>298.75</v>
      </c>
      <c r="D10" s="6" t="s">
        <v>39</v>
      </c>
      <c r="E10" s="6" t="s">
        <v>11</v>
      </c>
      <c r="F10" s="6" t="s">
        <v>40</v>
      </c>
      <c r="G10" s="8" t="s">
        <v>13</v>
      </c>
    </row>
    <row r="11" customFormat="false" ht="18" hidden="false" customHeight="true" outlineLevel="0" collapsed="false">
      <c r="A11" s="3" t="s">
        <v>41</v>
      </c>
      <c r="B11" s="3" t="s">
        <v>24</v>
      </c>
      <c r="C11" s="4" t="n">
        <v>234.56</v>
      </c>
      <c r="D11" s="3" t="s">
        <v>16</v>
      </c>
      <c r="E11" s="3" t="s">
        <v>42</v>
      </c>
      <c r="F11" s="3" t="s">
        <v>43</v>
      </c>
      <c r="G11" s="5" t="s">
        <v>13</v>
      </c>
    </row>
    <row r="12" customFormat="false" ht="18" hidden="false" customHeight="true" outlineLevel="0" collapsed="false">
      <c r="A12" s="6" t="s">
        <v>44</v>
      </c>
      <c r="B12" s="6" t="s">
        <v>45</v>
      </c>
      <c r="C12" s="7" t="n">
        <v>523.45</v>
      </c>
      <c r="D12" s="6" t="s">
        <v>16</v>
      </c>
      <c r="E12" s="6" t="s">
        <v>46</v>
      </c>
      <c r="F12" s="6" t="s">
        <v>47</v>
      </c>
      <c r="G12" s="8" t="s">
        <v>13</v>
      </c>
    </row>
    <row r="13" customFormat="false" ht="18" hidden="false" customHeight="true" outlineLevel="0" collapsed="false">
      <c r="A13" s="3" t="s">
        <v>48</v>
      </c>
      <c r="B13" s="3" t="s">
        <v>49</v>
      </c>
      <c r="C13" s="4" t="n">
        <v>187.5</v>
      </c>
      <c r="D13" s="3" t="s">
        <v>16</v>
      </c>
      <c r="E13" s="3" t="s">
        <v>50</v>
      </c>
      <c r="F13" s="3" t="s">
        <v>51</v>
      </c>
      <c r="G13" s="5" t="s">
        <v>13</v>
      </c>
    </row>
    <row r="14" customFormat="false" ht="18" hidden="false" customHeight="true" outlineLevel="0" collapsed="false">
      <c r="A14" s="6" t="s">
        <v>52</v>
      </c>
      <c r="B14" s="6" t="s">
        <v>53</v>
      </c>
      <c r="C14" s="7" t="n">
        <v>189</v>
      </c>
      <c r="D14" s="6" t="s">
        <v>16</v>
      </c>
      <c r="E14" s="6" t="s">
        <v>25</v>
      </c>
      <c r="F14" s="6" t="s">
        <v>54</v>
      </c>
      <c r="G14" s="8" t="s">
        <v>13</v>
      </c>
    </row>
    <row r="15" customFormat="false" ht="18" hidden="false" customHeight="true" outlineLevel="0" collapsed="false">
      <c r="A15" s="9" t="s">
        <v>55</v>
      </c>
      <c r="B15" s="9" t="s">
        <v>56</v>
      </c>
      <c r="C15" s="10" t="n">
        <v>85</v>
      </c>
      <c r="D15" s="9" t="s">
        <v>57</v>
      </c>
      <c r="E15" s="9" t="s">
        <v>42</v>
      </c>
      <c r="F15" s="9" t="s">
        <v>58</v>
      </c>
      <c r="G15" s="11" t="s">
        <v>59</v>
      </c>
    </row>
    <row r="16" customFormat="false" ht="18" hidden="false" customHeight="true" outlineLevel="0" collapsed="false">
      <c r="A16" s="6" t="s">
        <v>60</v>
      </c>
      <c r="B16" s="6" t="s">
        <v>20</v>
      </c>
      <c r="C16" s="7" t="n">
        <v>445.23</v>
      </c>
      <c r="D16" s="6" t="s">
        <v>16</v>
      </c>
      <c r="E16" s="6" t="s">
        <v>21</v>
      </c>
      <c r="F16" s="6" t="s">
        <v>61</v>
      </c>
      <c r="G16" s="8" t="s">
        <v>13</v>
      </c>
    </row>
    <row r="17" customFormat="false" ht="18" hidden="false" customHeight="true" outlineLevel="0" collapsed="false">
      <c r="A17" s="3" t="s">
        <v>62</v>
      </c>
      <c r="B17" s="3" t="s">
        <v>63</v>
      </c>
      <c r="C17" s="4" t="n">
        <v>591.71</v>
      </c>
      <c r="D17" s="3" t="s">
        <v>16</v>
      </c>
      <c r="E17" s="3" t="s">
        <v>64</v>
      </c>
      <c r="F17" s="3" t="s">
        <v>65</v>
      </c>
      <c r="G17" s="5" t="s">
        <v>13</v>
      </c>
    </row>
    <row r="18" customFormat="false" ht="18" hidden="false" customHeight="true" outlineLevel="0" collapsed="false">
      <c r="A18" s="6" t="s">
        <v>66</v>
      </c>
      <c r="B18" s="6" t="s">
        <v>67</v>
      </c>
      <c r="C18" s="7" t="n">
        <v>875</v>
      </c>
      <c r="D18" s="6" t="s">
        <v>16</v>
      </c>
      <c r="E18" s="6" t="s">
        <v>68</v>
      </c>
      <c r="F18" s="6" t="s">
        <v>69</v>
      </c>
      <c r="G18" s="8" t="s">
        <v>13</v>
      </c>
    </row>
    <row r="19" customFormat="false" ht="18" hidden="false" customHeight="true" outlineLevel="0" collapsed="false">
      <c r="A19" s="3" t="s">
        <v>70</v>
      </c>
      <c r="B19" s="3" t="s">
        <v>71</v>
      </c>
      <c r="C19" s="4" t="n">
        <v>67.89</v>
      </c>
      <c r="D19" s="3" t="s">
        <v>16</v>
      </c>
      <c r="E19" s="3" t="s">
        <v>72</v>
      </c>
      <c r="F19" s="3" t="s">
        <v>73</v>
      </c>
      <c r="G19" s="5" t="s">
        <v>13</v>
      </c>
    </row>
    <row r="20" customFormat="false" ht="18" hidden="false" customHeight="true" outlineLevel="0" collapsed="false">
      <c r="A20" s="9" t="s">
        <v>74</v>
      </c>
      <c r="B20" s="9" t="s">
        <v>24</v>
      </c>
      <c r="C20" s="10" t="n">
        <v>150</v>
      </c>
      <c r="D20" s="9" t="s">
        <v>57</v>
      </c>
      <c r="E20" s="9" t="s">
        <v>42</v>
      </c>
      <c r="F20" s="9" t="s">
        <v>75</v>
      </c>
      <c r="G20" s="11" t="s">
        <v>59</v>
      </c>
    </row>
    <row r="21" customFormat="false" ht="21.75" hidden="false" customHeight="true" outlineLevel="0" collapsed="false">
      <c r="A21" s="12"/>
      <c r="B21" s="13" t="s">
        <v>76</v>
      </c>
      <c r="C21" s="14" t="n">
        <f aca="false">SUM(C3:C20)</f>
        <v>4544.61</v>
      </c>
      <c r="D21" s="12"/>
      <c r="E21" s="12"/>
      <c r="F21" s="12"/>
      <c r="G21" s="12"/>
    </row>
  </sheetData>
  <mergeCells count="1">
    <mergeCell ref="A1:G1"/>
  </mergeCells>
  <conditionalFormatting sqref="C3:C20">
    <cfRule type="cellIs" priority="2" operator="greaterThan" aboveAverage="0" equalAverage="0" bottom="0" percent="0" rank="0" text="" dxfId="0">
      <formula>400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5" t="s">
        <v>77</v>
      </c>
      <c r="B1" s="15"/>
      <c r="C1" s="15"/>
    </row>
    <row r="2" customFormat="false" ht="19.5" hidden="false" customHeight="true" outlineLevel="0" collapsed="false">
      <c r="A2" s="2" t="s">
        <v>5</v>
      </c>
      <c r="B2" s="2" t="s">
        <v>78</v>
      </c>
      <c r="C2" s="2" t="s">
        <v>79</v>
      </c>
    </row>
    <row r="3" customFormat="false" ht="18" hidden="false" customHeight="true" outlineLevel="0" collapsed="false">
      <c r="A3" s="3" t="s">
        <v>21</v>
      </c>
      <c r="B3" s="4" t="n">
        <f aca="false">SUMIF(Expenses!E$3:E$20,A3,Expenses!C$3:C$20)</f>
        <v>757.9</v>
      </c>
      <c r="C3" s="16" t="n">
        <f aca="false">B3/B$15</f>
        <v>0.166768985677539</v>
      </c>
    </row>
    <row r="4" customFormat="false" ht="18" hidden="false" customHeight="true" outlineLevel="0" collapsed="false">
      <c r="A4" s="6" t="s">
        <v>11</v>
      </c>
      <c r="B4" s="7" t="n">
        <f aca="false">SUMIF(Expenses!E$3:E$20,A4,Expenses!C$3:C$20)</f>
        <v>546.3</v>
      </c>
      <c r="C4" s="17" t="n">
        <f aca="false">B4/B$15</f>
        <v>0.120208334708589</v>
      </c>
    </row>
    <row r="5" customFormat="false" ht="18" hidden="false" customHeight="true" outlineLevel="0" collapsed="false">
      <c r="A5" s="3" t="s">
        <v>25</v>
      </c>
      <c r="B5" s="4" t="n">
        <f aca="false">SUMIF(Expenses!E$3:E$20,A5,Expenses!C$3:C$20)</f>
        <v>345.97</v>
      </c>
      <c r="C5" s="16" t="n">
        <f aca="false">B5/B$15</f>
        <v>0.0761275444977677</v>
      </c>
    </row>
    <row r="6" customFormat="false" ht="18" hidden="false" customHeight="true" outlineLevel="0" collapsed="false">
      <c r="A6" s="6" t="s">
        <v>50</v>
      </c>
      <c r="B6" s="7" t="n">
        <f aca="false">SUMIF(Expenses!E$3:E$20,A6,Expenses!C$3:C$20)</f>
        <v>187.5</v>
      </c>
      <c r="C6" s="17" t="n">
        <f aca="false">B6/B$15</f>
        <v>0.0412576656742823</v>
      </c>
    </row>
    <row r="7" customFormat="false" ht="18" hidden="false" customHeight="true" outlineLevel="0" collapsed="false">
      <c r="A7" s="3" t="s">
        <v>46</v>
      </c>
      <c r="B7" s="4" t="n">
        <f aca="false">SUMIF(Expenses!E$3:E$20,A7,Expenses!C$3:C$20)</f>
        <v>523.45</v>
      </c>
      <c r="C7" s="16" t="n">
        <f aca="false">B7/B$15</f>
        <v>0.115180400518416</v>
      </c>
    </row>
    <row r="8" customFormat="false" ht="18" hidden="false" customHeight="true" outlineLevel="0" collapsed="false">
      <c r="A8" s="6" t="s">
        <v>29</v>
      </c>
      <c r="B8" s="7" t="n">
        <f aca="false">SUMIF(Expenses!E$3:E$20,A8,Expenses!C$3:C$20)</f>
        <v>45</v>
      </c>
      <c r="C8" s="17" t="n">
        <f aca="false">B8/B$15</f>
        <v>0.00990183976182775</v>
      </c>
    </row>
    <row r="9" customFormat="false" ht="18" hidden="false" customHeight="true" outlineLevel="0" collapsed="false">
      <c r="A9" s="3" t="s">
        <v>68</v>
      </c>
      <c r="B9" s="4" t="n">
        <f aca="false">SUMIF(Expenses!E$3:E$20,A9,Expenses!C$3:C$20)</f>
        <v>875</v>
      </c>
      <c r="C9" s="16" t="n">
        <f aca="false">B9/B$15</f>
        <v>0.192535773146651</v>
      </c>
    </row>
    <row r="10" customFormat="false" ht="18" hidden="false" customHeight="true" outlineLevel="0" collapsed="false">
      <c r="A10" s="6" t="s">
        <v>72</v>
      </c>
      <c r="B10" s="7" t="n">
        <f aca="false">SUMIF(Expenses!E$3:E$20,A10,Expenses!C$3:C$20)</f>
        <v>67.89</v>
      </c>
      <c r="C10" s="17" t="n">
        <f aca="false">B10/B$15</f>
        <v>0.0149385755873441</v>
      </c>
    </row>
    <row r="11" customFormat="false" ht="18" hidden="false" customHeight="true" outlineLevel="0" collapsed="false">
      <c r="A11" s="3" t="s">
        <v>17</v>
      </c>
      <c r="B11" s="4" t="n">
        <f aca="false">SUMIF(Expenses!E$3:E$20,A11,Expenses!C$3:C$20)</f>
        <v>89.34</v>
      </c>
      <c r="C11" s="16" t="n">
        <f aca="false">B11/B$15</f>
        <v>0.019658452540482</v>
      </c>
    </row>
    <row r="12" customFormat="false" ht="18" hidden="false" customHeight="true" outlineLevel="0" collapsed="false">
      <c r="A12" s="6" t="s">
        <v>64</v>
      </c>
      <c r="B12" s="7" t="n">
        <f aca="false">SUMIF(Expenses!E$3:E$20,A12,Expenses!C$3:C$20)</f>
        <v>591.71</v>
      </c>
      <c r="C12" s="17" t="n">
        <f aca="false">B12/B$15</f>
        <v>0.130200391232691</v>
      </c>
    </row>
    <row r="13" customFormat="false" ht="18" hidden="false" customHeight="true" outlineLevel="0" collapsed="false">
      <c r="A13" s="3" t="s">
        <v>33</v>
      </c>
      <c r="B13" s="4" t="n">
        <f aca="false">SUMIF(Expenses!E$3:E$20,A13,Expenses!C$3:C$20)</f>
        <v>44.99</v>
      </c>
      <c r="C13" s="16" t="n">
        <f aca="false">B13/B$15</f>
        <v>0.00989963935299179</v>
      </c>
    </row>
    <row r="14" customFormat="false" ht="18" hidden="false" customHeight="true" outlineLevel="0" collapsed="false">
      <c r="A14" s="6" t="s">
        <v>42</v>
      </c>
      <c r="B14" s="7" t="n">
        <f aca="false">SUMIF(Expenses!E$3:E$20,A14,Expenses!C$3:C$20)</f>
        <v>469.56</v>
      </c>
      <c r="C14" s="17" t="n">
        <f aca="false">B14/B$15</f>
        <v>0.103322397301419</v>
      </c>
    </row>
    <row r="15" customFormat="false" ht="21.75" hidden="false" customHeight="true" outlineLevel="0" collapsed="false">
      <c r="A15" s="13" t="s">
        <v>80</v>
      </c>
      <c r="B15" s="14" t="n">
        <f aca="false">SUM(B3:B14)</f>
        <v>4544.61</v>
      </c>
      <c r="C15" s="1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8" t="s">
        <v>81</v>
      </c>
      <c r="B1" s="18"/>
      <c r="C1" s="18"/>
      <c r="D1" s="18"/>
      <c r="E1" s="18"/>
      <c r="F1" s="18"/>
    </row>
    <row r="2" customFormat="false" ht="19.5" hidden="false" customHeight="true" outlineLevel="0" collapsed="false">
      <c r="A2" s="19" t="s">
        <v>1</v>
      </c>
      <c r="B2" s="19" t="s">
        <v>2</v>
      </c>
      <c r="C2" s="19" t="s">
        <v>3</v>
      </c>
      <c r="D2" s="19" t="s">
        <v>5</v>
      </c>
      <c r="E2" s="19" t="s">
        <v>6</v>
      </c>
      <c r="F2" s="19" t="s">
        <v>82</v>
      </c>
    </row>
    <row r="3" customFormat="false" ht="19.5" hidden="false" customHeight="true" outlineLevel="0" collapsed="false">
      <c r="A3" s="9" t="s">
        <v>55</v>
      </c>
      <c r="B3" s="9" t="s">
        <v>56</v>
      </c>
      <c r="C3" s="10" t="n">
        <v>85</v>
      </c>
      <c r="D3" s="9" t="s">
        <v>42</v>
      </c>
      <c r="E3" s="9" t="s">
        <v>58</v>
      </c>
      <c r="F3" s="9" t="s">
        <v>83</v>
      </c>
    </row>
    <row r="4" customFormat="false" ht="19.5" hidden="false" customHeight="true" outlineLevel="0" collapsed="false">
      <c r="A4" s="9" t="s">
        <v>74</v>
      </c>
      <c r="B4" s="9" t="s">
        <v>24</v>
      </c>
      <c r="C4" s="10" t="n">
        <v>150</v>
      </c>
      <c r="D4" s="9" t="s">
        <v>42</v>
      </c>
      <c r="E4" s="9" t="s">
        <v>75</v>
      </c>
      <c r="F4" s="9" t="s">
        <v>83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2026-03-31T06:46:47Z</dcterms:created>
  <dc:creator>openpyxl</dc:creator>
  <dc:description/>
  <dc:language>en-US</dc:language>
  <cp:lastModifiedBy/>
  <dcterms:modified xsi:type="dcterms:W3CDTF">2026-03-31T13:46:53Z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